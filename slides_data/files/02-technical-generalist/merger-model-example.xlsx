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retion-Dil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0x"/>
    <numFmt numFmtId="166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142A55"/>
      <sz val="14"/>
    </font>
    <font>
      <name val="Calibri"/>
      <i val="1"/>
      <color rgb="004A5567"/>
      <sz val="9"/>
    </font>
    <font>
      <name val="Calibri"/>
      <b val="1"/>
      <color rgb="00FFFFFF"/>
      <sz val="11"/>
    </font>
    <font>
      <name val="Calibri"/>
      <color rgb="001A2A4A"/>
      <sz val="10"/>
    </font>
    <font>
      <name val="Calibri"/>
      <color rgb="000563C1"/>
      <sz val="10"/>
    </font>
    <font>
      <name val="Calibri"/>
      <b val="1"/>
      <color rgb="00142A55"/>
      <sz val="11"/>
    </font>
  </fonts>
  <fills count="4">
    <fill>
      <patternFill/>
    </fill>
    <fill>
      <patternFill patternType="gray125"/>
    </fill>
    <fill>
      <patternFill patternType="solid">
        <fgColor rgb="00142A55"/>
      </patternFill>
    </fill>
    <fill>
      <patternFill patternType="solid">
        <fgColor rgb="00ECF0F7"/>
      </patternFill>
    </fill>
  </fills>
  <borders count="2">
    <border>
      <left/>
      <right/>
      <top/>
      <bottom/>
      <diagonal/>
    </border>
    <border>
      <left style="thin">
        <color rgb="00BFC7D6"/>
      </left>
      <right style="thin">
        <color rgb="00BFC7D6"/>
      </right>
      <top style="thin">
        <color rgb="00BFC7D6"/>
      </top>
      <bottom style="thin">
        <color rgb="00BFC7D6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164" fontId="5" fillId="0" borderId="0" pivotButton="0" quotePrefix="0" xfId="0"/>
    <xf numFmtId="4" fontId="5" fillId="0" borderId="0" pivotButton="0" quotePrefix="0" xfId="0"/>
    <xf numFmtId="4" fontId="4" fillId="0" borderId="0" pivotButton="0" quotePrefix="0" xfId="0"/>
    <xf numFmtId="165" fontId="4" fillId="0" borderId="0" pivotButton="0" quotePrefix="0" xfId="0"/>
    <xf numFmtId="166" fontId="5" fillId="0" borderId="0" pivotButton="0" quotePrefix="0" xfId="0"/>
    <xf numFmtId="164" fontId="4" fillId="0" borderId="0" pivotButton="0" quotePrefix="0" xfId="0"/>
    <xf numFmtId="166" fontId="4" fillId="0" borderId="0" pivotButton="0" quotePrefix="0" xfId="0"/>
    <xf numFmtId="0" fontId="5" fillId="0" borderId="0" pivotButton="0" quotePrefix="0" xfId="0"/>
    <xf numFmtId="0" fontId="6" fillId="3" borderId="1" pivotButton="0" quotePrefix="0" xfId="0"/>
    <xf numFmtId="4" fontId="6" fillId="3" borderId="1" pivotButton="0" quotePrefix="0" xfId="0"/>
    <xf numFmtId="166" fontId="6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</cols>
  <sheetData>
    <row r="1">
      <c r="A1" s="1" t="inlineStr">
        <is>
          <t>Merger Model Example</t>
        </is>
      </c>
    </row>
    <row r="2">
      <c r="A2" s="2" t="inlineStr">
        <is>
          <t>Cells in blue are inputs. Toggle % Stock and Synergies (1/0) to see the effect on EPS.</t>
        </is>
      </c>
    </row>
    <row r="4">
      <c r="A4" s="3" t="inlineStr">
        <is>
          <t>ACQUIRER</t>
        </is>
      </c>
      <c r="B4" s="4" t="n"/>
    </row>
    <row r="5">
      <c r="A5" s="5" t="inlineStr">
        <is>
          <t>Net income ($M)</t>
        </is>
      </c>
      <c r="B5" s="6" t="n">
        <v>500</v>
      </c>
    </row>
    <row r="6">
      <c r="A6" s="5" t="inlineStr">
        <is>
          <t>Shares (M)</t>
        </is>
      </c>
      <c r="B6" s="6" t="n">
        <v>200</v>
      </c>
    </row>
    <row r="7">
      <c r="A7" s="5" t="inlineStr">
        <is>
          <t>Share price ($)</t>
        </is>
      </c>
      <c r="B7" s="7" t="n">
        <v>50</v>
      </c>
    </row>
    <row r="8">
      <c r="A8" s="5" t="inlineStr">
        <is>
          <t>EPS ($)</t>
        </is>
      </c>
      <c r="B8" s="8">
        <f>B5/B6</f>
        <v/>
      </c>
    </row>
    <row r="9">
      <c r="A9" s="5" t="inlineStr">
        <is>
          <t>P/E (x)</t>
        </is>
      </c>
      <c r="B9" s="9">
        <f>B7/B8</f>
        <v/>
      </c>
    </row>
    <row r="11">
      <c r="A11" s="3" t="inlineStr">
        <is>
          <t>TARGET</t>
        </is>
      </c>
      <c r="B11" s="4" t="n"/>
    </row>
    <row r="12">
      <c r="A12" s="5" t="inlineStr">
        <is>
          <t>Net income ($M)</t>
        </is>
      </c>
      <c r="B12" s="6" t="n">
        <v>150</v>
      </c>
    </row>
    <row r="13">
      <c r="A13" s="5" t="inlineStr">
        <is>
          <t>Shares (M)</t>
        </is>
      </c>
      <c r="B13" s="6" t="n">
        <v>80</v>
      </c>
    </row>
    <row r="14">
      <c r="A14" s="5" t="inlineStr">
        <is>
          <t>Share price ($)</t>
        </is>
      </c>
      <c r="B14" s="7" t="n">
        <v>30</v>
      </c>
    </row>
    <row r="15">
      <c r="A15" s="5" t="inlineStr">
        <is>
          <t>Offer premium (%)</t>
        </is>
      </c>
      <c r="B15" s="10" t="n">
        <v>0.3</v>
      </c>
    </row>
    <row r="16">
      <c r="A16" s="5" t="inlineStr">
        <is>
          <t>Offer price / share ($)</t>
        </is>
      </c>
      <c r="B16" s="8">
        <f>B14*(1+B15)</f>
        <v/>
      </c>
    </row>
    <row r="17">
      <c r="A17" s="5" t="inlineStr">
        <is>
          <t>Offer equity value ($M)</t>
        </is>
      </c>
      <c r="B17" s="11">
        <f>B16*B13</f>
        <v/>
      </c>
    </row>
    <row r="19">
      <c r="A19" s="3" t="inlineStr">
        <is>
          <t>DEAL STRUCTURE</t>
        </is>
      </c>
      <c r="B19" s="4" t="n"/>
    </row>
    <row r="20">
      <c r="A20" s="5" t="inlineStr">
        <is>
          <t>% Stock</t>
        </is>
      </c>
      <c r="B20" s="10" t="n">
        <v>0.5</v>
      </c>
    </row>
    <row r="21">
      <c r="A21" s="5" t="inlineStr">
        <is>
          <t>% Cash</t>
        </is>
      </c>
      <c r="B21" s="12">
        <f>1-B20</f>
        <v/>
      </c>
    </row>
    <row r="22">
      <c r="A22" s="5" t="inlineStr">
        <is>
          <t>Pre-tax cost of cash / new debt</t>
        </is>
      </c>
      <c r="B22" s="10" t="n">
        <v>0.05</v>
      </c>
    </row>
    <row r="23">
      <c r="A23" s="5" t="inlineStr">
        <is>
          <t>Tax rate</t>
        </is>
      </c>
      <c r="B23" s="10" t="n">
        <v>0.25</v>
      </c>
    </row>
    <row r="24">
      <c r="A24" s="5" t="inlineStr">
        <is>
          <t>Synergies, pre-tax ($M)</t>
        </is>
      </c>
      <c r="B24" s="6" t="n">
        <v>50</v>
      </c>
    </row>
    <row r="25">
      <c r="A25" s="5" t="inlineStr">
        <is>
          <t>Include synergies (1=Yes, 0=No)</t>
        </is>
      </c>
      <c r="B25" s="13" t="n">
        <v>1</v>
      </c>
    </row>
    <row r="27">
      <c r="A27" s="3" t="inlineStr">
        <is>
          <t>PRO FORMA</t>
        </is>
      </c>
      <c r="B27" s="4" t="n"/>
    </row>
    <row r="28">
      <c r="A28" s="5" t="inlineStr">
        <is>
          <t>New shares issued (M)</t>
        </is>
      </c>
      <c r="B28" s="11">
        <f>(B17*B20)/B7</f>
        <v/>
      </c>
    </row>
    <row r="29">
      <c r="A29" s="5" t="inlineStr">
        <is>
          <t>Cash used ($M)</t>
        </is>
      </c>
      <c r="B29" s="11">
        <f>B17*B21</f>
        <v/>
      </c>
    </row>
    <row r="30">
      <c r="A30" s="5" t="inlineStr">
        <is>
          <t>After-tax forgone interest ($M)</t>
        </is>
      </c>
      <c r="B30" s="11">
        <f>-B29*B22*(1-B23)</f>
        <v/>
      </c>
    </row>
    <row r="31">
      <c r="A31" s="5" t="inlineStr">
        <is>
          <t>After-tax synergies ($M)</t>
        </is>
      </c>
      <c r="B31" s="11">
        <f>B24*(1-B23)*B25</f>
        <v/>
      </c>
    </row>
    <row r="32">
      <c r="A32" s="5" t="inlineStr">
        <is>
          <t>Pro forma net income ($M)</t>
        </is>
      </c>
      <c r="B32" s="11">
        <f>B5+B12+B31+B30</f>
        <v/>
      </c>
    </row>
    <row r="33">
      <c r="A33" s="5" t="inlineStr">
        <is>
          <t>Pro forma shares (M)</t>
        </is>
      </c>
      <c r="B33" s="11">
        <f>B6+B28</f>
        <v/>
      </c>
    </row>
    <row r="34">
      <c r="A34" s="5" t="inlineStr">
        <is>
          <t>Pro forma EPS ($)</t>
        </is>
      </c>
      <c r="B34" s="8">
        <f>B32/B33</f>
        <v/>
      </c>
    </row>
    <row r="36">
      <c r="A36" s="3" t="inlineStr">
        <is>
          <t>OUTPUT</t>
        </is>
      </c>
      <c r="B36" s="4" t="n"/>
    </row>
    <row r="37">
      <c r="A37" s="14" t="inlineStr">
        <is>
          <t>Acquirer standalone EPS ($)</t>
        </is>
      </c>
      <c r="B37" s="15">
        <f>B8</f>
        <v/>
      </c>
    </row>
    <row r="38">
      <c r="A38" s="14" t="inlineStr">
        <is>
          <t>Pro forma EPS ($)</t>
        </is>
      </c>
      <c r="B38" s="15">
        <f>B34</f>
        <v/>
      </c>
    </row>
    <row r="39">
      <c r="A39" s="14" t="inlineStr">
        <is>
          <t>Accretion / (Dilution)</t>
        </is>
      </c>
      <c r="B39" s="16">
        <f>B34/B8-1</f>
        <v/>
      </c>
    </row>
    <row r="40">
      <c r="A40" s="14" t="inlineStr">
        <is>
          <t>Verdict</t>
        </is>
      </c>
      <c r="B40" s="14">
        <f>IF(B39&gt;=0,"Accretive","Dilutive")</f>
        <v/>
      </c>
    </row>
  </sheetData>
  <dataValidations count="1">
    <dataValidation sqref="B25" showDropDown="0" showInputMessage="0" showErrorMessage="0" allowBlank="0" type="list">
      <formula1>"0,1"</formula1>
    </dataValidation>
  </dataValidations>
  <printOptions gridLines="0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2026-06-13T08:56:42Z</dcterms:created>
  <dcterms:modified xmlns:dcterms="http://purl.org/dc/terms/" xmlns:xsi="http://www.w3.org/2001/XMLSchema-instance" xsi:type="dcterms:W3CDTF">2026-06-13T08:56:42Z</dcterms:modified>
</cp:coreProperties>
</file>