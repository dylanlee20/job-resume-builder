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x"/>
  </numFmts>
  <fonts count="7">
    <font>
      <name val="Calibri"/>
      <family val="2"/>
      <color theme="1"/>
      <sz val="11"/>
      <scheme val="minor"/>
    </font>
    <font>
      <name val="Calibri"/>
      <b val="1"/>
      <color rgb="00142A55"/>
      <sz val="14"/>
    </font>
    <font>
      <name val="Calibri"/>
      <i val="1"/>
      <color rgb="004A5567"/>
      <sz val="9"/>
    </font>
    <font>
      <name val="Calibri"/>
      <b val="1"/>
      <color rgb="00FFFFFF"/>
      <sz val="11"/>
    </font>
    <font>
      <name val="Calibri"/>
      <color rgb="001A2A4A"/>
      <sz val="10"/>
    </font>
    <font>
      <name val="Calibri"/>
      <color rgb="000563C1"/>
      <sz val="10"/>
    </font>
    <font>
      <name val="Calibri"/>
      <b val="1"/>
      <color rgb="00142A55"/>
      <sz val="11"/>
    </font>
  </fonts>
  <fills count="4">
    <fill>
      <patternFill/>
    </fill>
    <fill>
      <patternFill patternType="gray125"/>
    </fill>
    <fill>
      <patternFill patternType="solid">
        <fgColor rgb="00142A55"/>
      </patternFill>
    </fill>
    <fill>
      <patternFill patternType="solid">
        <fgColor rgb="00ECF0F7"/>
      </patternFill>
    </fill>
  </fills>
  <borders count="2">
    <border>
      <left/>
      <right/>
      <top/>
      <bottom/>
      <diagonal/>
    </border>
    <border>
      <left style="thin">
        <color rgb="00BFC7D6"/>
      </left>
      <right style="thin">
        <color rgb="00BFC7D6"/>
      </right>
      <top style="thin">
        <color rgb="00BFC7D6"/>
      </top>
      <bottom style="thin">
        <color rgb="00BFC7D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64" fontId="4" fillId="0" borderId="0" pivotButton="0" quotePrefix="0" xfId="0"/>
    <xf numFmtId="165" fontId="5" fillId="0" borderId="0" pivotButton="0" quotePrefix="0" xfId="0"/>
    <xf numFmtId="165" fontId="4" fillId="0" borderId="0" pivotButton="0" quotePrefix="0" xfId="0"/>
    <xf numFmtId="0" fontId="6" fillId="0" borderId="0" pivotButton="0" quotePrefix="0" xfId="0"/>
    <xf numFmtId="166" fontId="4" fillId="0" borderId="0" pivotButton="0" quotePrefix="0" xfId="0"/>
    <xf numFmtId="0" fontId="6" fillId="3" borderId="1" pivotButton="0" quotePrefix="0" xfId="0"/>
    <xf numFmtId="165" fontId="6" fillId="3" borderId="1" pivotButton="0" quotePrefix="0" xfId="0"/>
    <xf numFmtId="4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DCF Model Example</t>
        </is>
      </c>
    </row>
    <row r="2">
      <c r="A2" s="2" t="inlineStr">
        <is>
          <t>Cells in blue are inputs. Change the Scenario toggle (1/2/3) to flip growth and margin.</t>
        </is>
      </c>
    </row>
    <row r="4">
      <c r="A4" s="3" t="inlineStr">
        <is>
          <t>ASSUMPTIONS</t>
        </is>
      </c>
      <c r="B4" s="4" t="n"/>
    </row>
    <row r="5">
      <c r="A5" s="5" t="inlineStr">
        <is>
          <t>Scenario (1=Base, 2=Upside, 3=Downside)</t>
        </is>
      </c>
      <c r="B5" s="6" t="n">
        <v>1</v>
      </c>
    </row>
    <row r="7">
      <c r="A7" s="3" t="inlineStr">
        <is>
          <t>Driver</t>
        </is>
      </c>
      <c r="B7" s="3" t="inlineStr">
        <is>
          <t>Base</t>
        </is>
      </c>
      <c r="C7" s="3" t="inlineStr">
        <is>
          <t>Upside</t>
        </is>
      </c>
      <c r="D7" s="3" t="inlineStr">
        <is>
          <t>Downside</t>
        </is>
      </c>
      <c r="E7" s="3" t="inlineStr">
        <is>
          <t>Active</t>
        </is>
      </c>
    </row>
    <row r="8">
      <c r="A8" s="5" t="inlineStr">
        <is>
          <t>Revenue growth</t>
        </is>
      </c>
      <c r="B8" s="7" t="n">
        <v>0.08</v>
      </c>
      <c r="C8" s="7" t="n">
        <v>0.12</v>
      </c>
      <c r="D8" s="7" t="n">
        <v>0.04</v>
      </c>
      <c r="E8" s="8">
        <f>CHOOSE($B$5,B8,C8,D8)</f>
        <v/>
      </c>
    </row>
    <row r="9">
      <c r="A9" s="5" t="inlineStr">
        <is>
          <t>EBIT margin</t>
        </is>
      </c>
      <c r="B9" s="7" t="n">
        <v>0.25</v>
      </c>
      <c r="C9" s="7" t="n">
        <v>0.28</v>
      </c>
      <c r="D9" s="7" t="n">
        <v>0.22</v>
      </c>
      <c r="E9" s="8">
        <f>CHOOSE($B$5,B9,C9,D9)</f>
        <v/>
      </c>
    </row>
    <row r="11">
      <c r="A11" s="5" t="inlineStr">
        <is>
          <t>Base year revenue ($M)</t>
        </is>
      </c>
      <c r="B11" s="9" t="n">
        <v>1000</v>
      </c>
    </row>
    <row r="12">
      <c r="A12" s="5" t="inlineStr">
        <is>
          <t>Tax rate</t>
        </is>
      </c>
      <c r="B12" s="7" t="n">
        <v>0.25</v>
      </c>
    </row>
    <row r="13">
      <c r="A13" s="5" t="inlineStr">
        <is>
          <t>D&amp;A (% of revenue)</t>
        </is>
      </c>
      <c r="B13" s="7" t="n">
        <v>0.04</v>
      </c>
    </row>
    <row r="14">
      <c r="A14" s="5" t="inlineStr">
        <is>
          <t>CapEx (% of revenue)</t>
        </is>
      </c>
      <c r="B14" s="7" t="n">
        <v>0.05</v>
      </c>
    </row>
    <row r="15">
      <c r="A15" s="5" t="inlineStr">
        <is>
          <t>Change in NWC (% of revenue)</t>
        </is>
      </c>
      <c r="B15" s="7" t="n">
        <v>0.02</v>
      </c>
    </row>
    <row r="16">
      <c r="A16" s="5" t="inlineStr">
        <is>
          <t>WACC</t>
        </is>
      </c>
      <c r="B16" s="7" t="n">
        <v>0.09</v>
      </c>
    </row>
    <row r="17">
      <c r="A17" s="5" t="inlineStr">
        <is>
          <t>Terminal growth</t>
        </is>
      </c>
      <c r="B17" s="7" t="n">
        <v>0.025</v>
      </c>
    </row>
    <row r="18">
      <c r="A18" s="5" t="inlineStr">
        <is>
          <t>Mid-year convention (1=Yes, 0=No)</t>
        </is>
      </c>
      <c r="B18" s="6" t="n">
        <v>1</v>
      </c>
    </row>
    <row r="19">
      <c r="A19" s="5" t="inlineStr">
        <is>
          <t>Net debt ($M)</t>
        </is>
      </c>
      <c r="B19" s="9" t="n">
        <v>200</v>
      </c>
    </row>
    <row r="20">
      <c r="A20" s="5" t="inlineStr">
        <is>
          <t>Shares outstanding (M)</t>
        </is>
      </c>
      <c r="B20" s="9" t="n">
        <v>100</v>
      </c>
    </row>
    <row r="22">
      <c r="A22" s="3" t="inlineStr">
        <is>
          <t>UNLEVERED FREE CASH FLOW</t>
        </is>
      </c>
      <c r="B22" s="4" t="n"/>
      <c r="C22" s="4" t="n"/>
      <c r="D22" s="4" t="n"/>
      <c r="E22" s="4" t="n"/>
      <c r="F22" s="4" t="n"/>
    </row>
    <row r="23">
      <c r="A23" s="3" t="inlineStr">
        <is>
          <t>($M)</t>
        </is>
      </c>
      <c r="B23" s="3" t="inlineStr">
        <is>
          <t>Year 1</t>
        </is>
      </c>
      <c r="C23" s="3" t="inlineStr">
        <is>
          <t>Year 2</t>
        </is>
      </c>
      <c r="D23" s="3" t="inlineStr">
        <is>
          <t>Year 3</t>
        </is>
      </c>
      <c r="E23" s="3" t="inlineStr">
        <is>
          <t>Year 4</t>
        </is>
      </c>
      <c r="F23" s="3" t="inlineStr">
        <is>
          <t>Year 5</t>
        </is>
      </c>
    </row>
    <row r="24">
      <c r="A24" s="5" t="inlineStr">
        <is>
          <t>Revenue</t>
        </is>
      </c>
      <c r="B24" s="10">
        <f>B11*(1+$E$8)</f>
        <v/>
      </c>
      <c r="C24" s="10">
        <f>B24*(1+$E$8)</f>
        <v/>
      </c>
      <c r="D24" s="10">
        <f>C24*(1+$E$8)</f>
        <v/>
      </c>
      <c r="E24" s="10">
        <f>D24*(1+$E$8)</f>
        <v/>
      </c>
      <c r="F24" s="10">
        <f>E24*(1+$E$8)</f>
        <v/>
      </c>
    </row>
    <row r="25">
      <c r="A25" s="5" t="inlineStr">
        <is>
          <t>EBIT</t>
        </is>
      </c>
      <c r="B25" s="10">
        <f>B24*$E$9</f>
        <v/>
      </c>
      <c r="C25" s="10">
        <f>C24*$E$9</f>
        <v/>
      </c>
      <c r="D25" s="10">
        <f>D24*$E$9</f>
        <v/>
      </c>
      <c r="E25" s="10">
        <f>E24*$E$9</f>
        <v/>
      </c>
      <c r="F25" s="10">
        <f>F24*$E$9</f>
        <v/>
      </c>
    </row>
    <row r="26">
      <c r="A26" s="5" t="inlineStr">
        <is>
          <t>Less: Taxes</t>
        </is>
      </c>
      <c r="B26" s="10">
        <f>-B25*$B$12</f>
        <v/>
      </c>
      <c r="C26" s="10">
        <f>-C25*$B$12</f>
        <v/>
      </c>
      <c r="D26" s="10">
        <f>-D25*$B$12</f>
        <v/>
      </c>
      <c r="E26" s="10">
        <f>-E25*$B$12</f>
        <v/>
      </c>
      <c r="F26" s="10">
        <f>-F25*$B$12</f>
        <v/>
      </c>
    </row>
    <row r="27">
      <c r="A27" s="5" t="inlineStr">
        <is>
          <t>NOPAT</t>
        </is>
      </c>
      <c r="B27" s="10">
        <f>B25+B26</f>
        <v/>
      </c>
      <c r="C27" s="10">
        <f>C25+C26</f>
        <v/>
      </c>
      <c r="D27" s="10">
        <f>D25+D26</f>
        <v/>
      </c>
      <c r="E27" s="10">
        <f>E25+E26</f>
        <v/>
      </c>
      <c r="F27" s="10">
        <f>F25+F26</f>
        <v/>
      </c>
    </row>
    <row r="28">
      <c r="A28" s="5" t="inlineStr">
        <is>
          <t>Plus: D&amp;A</t>
        </is>
      </c>
      <c r="B28" s="10">
        <f>B24*$B$13</f>
        <v/>
      </c>
      <c r="C28" s="10">
        <f>C24*$B$13</f>
        <v/>
      </c>
      <c r="D28" s="10">
        <f>D24*$B$13</f>
        <v/>
      </c>
      <c r="E28" s="10">
        <f>E24*$B$13</f>
        <v/>
      </c>
      <c r="F28" s="10">
        <f>F24*$B$13</f>
        <v/>
      </c>
    </row>
    <row r="29">
      <c r="A29" s="5" t="inlineStr">
        <is>
          <t>Less: CapEx</t>
        </is>
      </c>
      <c r="B29" s="10">
        <f>-B24*$B$14</f>
        <v/>
      </c>
      <c r="C29" s="10">
        <f>-C24*$B$14</f>
        <v/>
      </c>
      <c r="D29" s="10">
        <f>-D24*$B$14</f>
        <v/>
      </c>
      <c r="E29" s="10">
        <f>-E24*$B$14</f>
        <v/>
      </c>
      <c r="F29" s="10">
        <f>-F24*$B$14</f>
        <v/>
      </c>
    </row>
    <row r="30">
      <c r="A30" s="5" t="inlineStr">
        <is>
          <t>Less: Change in NWC</t>
        </is>
      </c>
      <c r="B30" s="10">
        <f>-B24*$B$15</f>
        <v/>
      </c>
      <c r="C30" s="10">
        <f>-C24*$B$15</f>
        <v/>
      </c>
      <c r="D30" s="10">
        <f>-D24*$B$15</f>
        <v/>
      </c>
      <c r="E30" s="10">
        <f>-E24*$B$15</f>
        <v/>
      </c>
      <c r="F30" s="10">
        <f>-F24*$B$15</f>
        <v/>
      </c>
    </row>
    <row r="31">
      <c r="A31" s="11" t="inlineStr">
        <is>
          <t>Unlevered FCF</t>
        </is>
      </c>
      <c r="B31" s="10">
        <f>B27+B28+B29+B30</f>
        <v/>
      </c>
      <c r="C31" s="10">
        <f>C27+C28+C29+C30</f>
        <v/>
      </c>
      <c r="D31" s="10">
        <f>D27+D28+D29+D30</f>
        <v/>
      </c>
      <c r="E31" s="10">
        <f>E27+E28+E29+E30</f>
        <v/>
      </c>
      <c r="F31" s="10">
        <f>F27+F28+F29+F30</f>
        <v/>
      </c>
    </row>
    <row r="32">
      <c r="A32" s="5" t="inlineStr">
        <is>
          <t>Discount period</t>
        </is>
      </c>
      <c r="B32" s="10">
        <f>(1)-0.5*$B$18</f>
        <v/>
      </c>
      <c r="C32" s="10">
        <f>(2)-0.5*$B$18</f>
        <v/>
      </c>
      <c r="D32" s="10">
        <f>(3)-0.5*$B$18</f>
        <v/>
      </c>
      <c r="E32" s="10">
        <f>(4)-0.5*$B$18</f>
        <v/>
      </c>
      <c r="F32" s="10">
        <f>(5)-0.5*$B$18</f>
        <v/>
      </c>
    </row>
    <row r="33">
      <c r="A33" s="5" t="inlineStr">
        <is>
          <t>Discount factor</t>
        </is>
      </c>
      <c r="B33" s="12">
        <f>1/(1+$B$16)^B32</f>
        <v/>
      </c>
      <c r="C33" s="12">
        <f>1/(1+$B$16)^C32</f>
        <v/>
      </c>
      <c r="D33" s="12">
        <f>1/(1+$B$16)^D32</f>
        <v/>
      </c>
      <c r="E33" s="12">
        <f>1/(1+$B$16)^E32</f>
        <v/>
      </c>
      <c r="F33" s="12">
        <f>1/(1+$B$16)^F32</f>
        <v/>
      </c>
    </row>
    <row r="34">
      <c r="A34" s="11" t="inlineStr">
        <is>
          <t>PV of FCF</t>
        </is>
      </c>
      <c r="B34" s="10">
        <f>B31*B33</f>
        <v/>
      </c>
      <c r="C34" s="10">
        <f>C31*C33</f>
        <v/>
      </c>
      <c r="D34" s="10">
        <f>D31*D33</f>
        <v/>
      </c>
      <c r="E34" s="10">
        <f>E31*E33</f>
        <v/>
      </c>
      <c r="F34" s="10">
        <f>F31*F33</f>
        <v/>
      </c>
    </row>
    <row r="36">
      <c r="A36" s="3" t="inlineStr">
        <is>
          <t>TERMINAL VALUE &amp; VALUATION</t>
        </is>
      </c>
      <c r="B36" s="4" t="n"/>
    </row>
    <row r="37">
      <c r="A37" s="5" t="inlineStr">
        <is>
          <t>Terminal value (Gordon growth, $M)</t>
        </is>
      </c>
      <c r="B37" s="10">
        <f>F31*(1+$B$17)/($B$16-$B$17)</f>
        <v/>
      </c>
    </row>
    <row r="38">
      <c r="A38" s="5" t="inlineStr">
        <is>
          <t>PV of terminal value ($M)</t>
        </is>
      </c>
      <c r="B38" s="10">
        <f>B37*F33</f>
        <v/>
      </c>
    </row>
    <row r="39">
      <c r="A39" s="5" t="inlineStr">
        <is>
          <t>Sum of PV of FCF ($M)</t>
        </is>
      </c>
      <c r="B39" s="10">
        <f>SUM(B34:F34)</f>
        <v/>
      </c>
    </row>
    <row r="40">
      <c r="A40" s="13" t="inlineStr">
        <is>
          <t>Enterprise Value ($M)</t>
        </is>
      </c>
      <c r="B40" s="14">
        <f>B38+B39</f>
        <v/>
      </c>
    </row>
    <row r="41">
      <c r="A41" s="13" t="inlineStr">
        <is>
          <t>Less: Net debt ($M)</t>
        </is>
      </c>
      <c r="B41" s="14">
        <f>-B19</f>
        <v/>
      </c>
    </row>
    <row r="42">
      <c r="A42" s="13" t="inlineStr">
        <is>
          <t>Equity Value ($M)</t>
        </is>
      </c>
      <c r="B42" s="14">
        <f>B40+B41</f>
        <v/>
      </c>
    </row>
    <row r="43">
      <c r="A43" s="13" t="inlineStr">
        <is>
          <t>Implied share price ($)</t>
        </is>
      </c>
      <c r="B43" s="15">
        <f>B42/B20</f>
        <v/>
      </c>
    </row>
  </sheetData>
  <dataValidations count="2">
    <dataValidation sqref="B5" showDropDown="0" showInputMessage="0" showErrorMessage="0" allowBlank="0" type="list">
      <formula1>"1,2,3"</formula1>
    </dataValidation>
    <dataValidation sqref="B18" showDropDown="0" showInputMessage="0" showErrorMessage="0" allowBlank="0" type="list">
      <formula1>"0,1"</formula1>
    </dataValidation>
  </dataValidations>
  <printOptions gridLines="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2026-06-13T08:56:42Z</dcterms:created>
  <dcterms:modified xmlns:dcterms="http://purl.org/dc/terms/" xmlns:xsi="http://www.w3.org/2001/XMLSchema-instance" xsi:type="dcterms:W3CDTF">2026-06-13T08:56:42Z</dcterms:modified>
</cp:coreProperties>
</file>