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B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0.00x"/>
    <numFmt numFmtId="166" formatCode="0.0%"/>
  </numFmts>
  <fonts count="7">
    <font>
      <name val="Calibri"/>
      <family val="2"/>
      <color theme="1"/>
      <sz val="11"/>
      <scheme val="minor"/>
    </font>
    <font>
      <name val="Calibri"/>
      <b val="1"/>
      <color rgb="00142A55"/>
      <sz val="14"/>
    </font>
    <font>
      <name val="Calibri"/>
      <i val="1"/>
      <color rgb="004A5567"/>
      <sz val="9"/>
    </font>
    <font>
      <name val="Calibri"/>
      <b val="1"/>
      <color rgb="00FFFFFF"/>
      <sz val="11"/>
    </font>
    <font>
      <name val="Calibri"/>
      <color rgb="001A2A4A"/>
      <sz val="10"/>
    </font>
    <font>
      <name val="Calibri"/>
      <color rgb="000563C1"/>
      <sz val="10"/>
    </font>
    <font>
      <name val="Calibri"/>
      <b val="1"/>
      <color rgb="00142A55"/>
      <sz val="11"/>
    </font>
  </fonts>
  <fills count="4">
    <fill>
      <patternFill/>
    </fill>
    <fill>
      <patternFill patternType="gray125"/>
    </fill>
    <fill>
      <patternFill patternType="solid">
        <fgColor rgb="00142A55"/>
      </patternFill>
    </fill>
    <fill>
      <patternFill patternType="solid">
        <fgColor rgb="00ECF0F7"/>
      </patternFill>
    </fill>
  </fills>
  <borders count="2">
    <border>
      <left/>
      <right/>
      <top/>
      <bottom/>
      <diagonal/>
    </border>
    <border>
      <left style="thin">
        <color rgb="00BFC7D6"/>
      </left>
      <right style="thin">
        <color rgb="00BFC7D6"/>
      </right>
      <top style="thin">
        <color rgb="00BFC7D6"/>
      </top>
      <bottom style="thin">
        <color rgb="00BFC7D6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4" fillId="0" borderId="0" pivotButton="0" quotePrefix="0" xfId="0"/>
    <xf numFmtId="164" fontId="5" fillId="0" borderId="0" pivotButton="0" quotePrefix="0" xfId="0"/>
    <xf numFmtId="165" fontId="5" fillId="0" borderId="0" pivotButton="0" quotePrefix="0" xfId="0"/>
    <xf numFmtId="164" fontId="4" fillId="0" borderId="0" pivotButton="0" quotePrefix="0" xfId="0"/>
    <xf numFmtId="166" fontId="5" fillId="0" borderId="0" pivotButton="0" quotePrefix="0" xfId="0"/>
    <xf numFmtId="0" fontId="5" fillId="0" borderId="0" pivotButton="0" quotePrefix="0" xfId="0"/>
    <xf numFmtId="165" fontId="6" fillId="0" borderId="1" pivotButton="0" quotePrefix="0" xfId="0"/>
    <xf numFmtId="0" fontId="6" fillId="0" borderId="0" pivotButton="0" quotePrefix="0" xfId="0"/>
    <xf numFmtId="165" fontId="4" fillId="0" borderId="0" pivotButton="0" quotePrefix="0" xfId="0"/>
    <xf numFmtId="0" fontId="6" fillId="3" borderId="1" pivotButton="0" quotePrefix="0" xfId="0"/>
    <xf numFmtId="165" fontId="6" fillId="3" borderId="1" pivotButton="0" quotePrefix="0" xfId="0"/>
    <xf numFmtId="166" fontId="6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LBO Model Example</t>
        </is>
      </c>
    </row>
    <row r="2">
      <c r="A2" s="2" t="inlineStr">
        <is>
          <t>Cells in blue are inputs. Toggle the Exit-multiple scenario (1/2/3) and entry leverage.</t>
        </is>
      </c>
    </row>
    <row r="4">
      <c r="A4" s="3" t="inlineStr">
        <is>
          <t>ENTRY ASSUMPTIONS</t>
        </is>
      </c>
      <c r="B4" s="4" t="n"/>
    </row>
    <row r="5">
      <c r="A5" s="5" t="inlineStr">
        <is>
          <t>Entry EBITDA ($M)</t>
        </is>
      </c>
      <c r="B5" s="6" t="n">
        <v>100</v>
      </c>
    </row>
    <row r="6">
      <c r="A6" s="5" t="inlineStr">
        <is>
          <t>Entry multiple (x EBITDA)</t>
        </is>
      </c>
      <c r="B6" s="7" t="n">
        <v>9</v>
      </c>
    </row>
    <row r="7">
      <c r="A7" s="5" t="inlineStr">
        <is>
          <t>Enterprise value at entry ($M)</t>
        </is>
      </c>
      <c r="B7" s="8">
        <f>B5*B6</f>
        <v/>
      </c>
    </row>
    <row r="8">
      <c r="A8" s="5" t="inlineStr">
        <is>
          <t>Leverage (x EBITDA, debt)</t>
        </is>
      </c>
      <c r="B8" s="7" t="n">
        <v>5</v>
      </c>
    </row>
    <row r="9">
      <c r="A9" s="5" t="inlineStr">
        <is>
          <t>Debt at entry ($M)</t>
        </is>
      </c>
      <c r="B9" s="8">
        <f>B8*B5</f>
        <v/>
      </c>
    </row>
    <row r="10">
      <c r="A10" s="5" t="inlineStr">
        <is>
          <t>Equity invested ($M)</t>
        </is>
      </c>
      <c r="B10" s="8">
        <f>B7-B9</f>
        <v/>
      </c>
    </row>
    <row r="11">
      <c r="A11" s="5" t="inlineStr">
        <is>
          <t>Interest rate on debt</t>
        </is>
      </c>
      <c r="B11" s="9" t="n">
        <v>0.07000000000000001</v>
      </c>
    </row>
    <row r="12">
      <c r="A12" s="5" t="inlineStr">
        <is>
          <t>Tax rate</t>
        </is>
      </c>
      <c r="B12" s="9" t="n">
        <v>0.25</v>
      </c>
    </row>
    <row r="13">
      <c r="A13" s="5" t="inlineStr">
        <is>
          <t>EBITDA growth (% / yr)</t>
        </is>
      </c>
      <c r="B13" s="9" t="n">
        <v>0.08</v>
      </c>
    </row>
    <row r="14">
      <c r="A14" s="5" t="inlineStr">
        <is>
          <t>D&amp;A (% of EBITDA)</t>
        </is>
      </c>
      <c r="B14" s="9" t="n">
        <v>0.25</v>
      </c>
    </row>
    <row r="15">
      <c r="A15" s="5" t="inlineStr">
        <is>
          <t>CapEx (% of EBITDA)</t>
        </is>
      </c>
      <c r="B15" s="9" t="n">
        <v>0.2</v>
      </c>
    </row>
    <row r="16">
      <c r="A16" s="5" t="inlineStr">
        <is>
          <t>Change in NWC (% of EBITDA)</t>
        </is>
      </c>
      <c r="B16" s="9" t="n">
        <v>0.05</v>
      </c>
    </row>
    <row r="17">
      <c r="A17" s="5" t="inlineStr">
        <is>
          <t>Hold period (years)</t>
        </is>
      </c>
      <c r="B17" s="6" t="n">
        <v>5</v>
      </c>
    </row>
    <row r="19">
      <c r="A19" s="5" t="inlineStr">
        <is>
          <t>Exit multiple scenario (1=Base, 2=Up, 3=Down)</t>
        </is>
      </c>
      <c r="B19" s="10" t="n">
        <v>1</v>
      </c>
    </row>
    <row r="20">
      <c r="A20" s="5" t="inlineStr">
        <is>
          <t>Exit multiple options (Base / Up / Down)</t>
        </is>
      </c>
      <c r="B20" s="7" t="n">
        <v>9</v>
      </c>
      <c r="C20" s="7" t="n">
        <v>10</v>
      </c>
      <c r="D20" s="7" t="n">
        <v>8</v>
      </c>
      <c r="E20" s="11">
        <f>CHOOSE($B$19,B20,C20,D20)</f>
        <v/>
      </c>
    </row>
    <row r="22">
      <c r="A22" s="3" t="inlineStr">
        <is>
          <t>DEBT PAYDOWN SCHEDULE ($M)</t>
        </is>
      </c>
      <c r="B22" s="4" t="n"/>
      <c r="C22" s="4" t="n"/>
      <c r="D22" s="4" t="n"/>
      <c r="E22" s="4" t="n"/>
      <c r="F22" s="4" t="n"/>
    </row>
    <row r="23">
      <c r="A23" s="3" t="inlineStr">
        <is>
          <t>($M)</t>
        </is>
      </c>
      <c r="B23" s="3" t="inlineStr">
        <is>
          <t>Year 1</t>
        </is>
      </c>
      <c r="C23" s="3" t="inlineStr">
        <is>
          <t>Year 2</t>
        </is>
      </c>
      <c r="D23" s="3" t="inlineStr">
        <is>
          <t>Year 3</t>
        </is>
      </c>
      <c r="E23" s="3" t="inlineStr">
        <is>
          <t>Year 4</t>
        </is>
      </c>
      <c r="F23" s="3" t="inlineStr">
        <is>
          <t>Year 5</t>
        </is>
      </c>
    </row>
    <row r="24">
      <c r="A24" s="5" t="inlineStr">
        <is>
          <t>EBITDA</t>
        </is>
      </c>
      <c r="B24" s="8">
        <f>B5*(1+$B$13)</f>
        <v/>
      </c>
      <c r="C24" s="8">
        <f>B24*(1+$B$13)</f>
        <v/>
      </c>
      <c r="D24" s="8">
        <f>C24*(1+$B$13)</f>
        <v/>
      </c>
      <c r="E24" s="8">
        <f>D24*(1+$B$13)</f>
        <v/>
      </c>
      <c r="F24" s="8">
        <f>E24*(1+$B$13)</f>
        <v/>
      </c>
    </row>
    <row r="25">
      <c r="A25" s="5" t="inlineStr">
        <is>
          <t>Less: D&amp;A</t>
        </is>
      </c>
      <c r="B25" s="8">
        <f>B24*$B$14</f>
        <v/>
      </c>
      <c r="C25" s="8">
        <f>C24*$B$14</f>
        <v/>
      </c>
      <c r="D25" s="8">
        <f>D24*$B$14</f>
        <v/>
      </c>
      <c r="E25" s="8">
        <f>E24*$B$14</f>
        <v/>
      </c>
      <c r="F25" s="8">
        <f>F24*$B$14</f>
        <v/>
      </c>
    </row>
    <row r="26">
      <c r="A26" s="5" t="inlineStr">
        <is>
          <t>EBIT</t>
        </is>
      </c>
      <c r="B26" s="8">
        <f>B24-B25</f>
        <v/>
      </c>
      <c r="C26" s="8">
        <f>C24-C25</f>
        <v/>
      </c>
      <c r="D26" s="8">
        <f>D24-D25</f>
        <v/>
      </c>
      <c r="E26" s="8">
        <f>E24-E25</f>
        <v/>
      </c>
      <c r="F26" s="8">
        <f>F24-F25</f>
        <v/>
      </c>
    </row>
    <row r="27">
      <c r="A27" s="5" t="inlineStr">
        <is>
          <t>Beginning debt</t>
        </is>
      </c>
      <c r="B27" s="8">
        <f>B9</f>
        <v/>
      </c>
      <c r="C27" s="8">
        <f>B34</f>
        <v/>
      </c>
      <c r="D27" s="8">
        <f>C34</f>
        <v/>
      </c>
      <c r="E27" s="8">
        <f>D34</f>
        <v/>
      </c>
      <c r="F27" s="8">
        <f>E34</f>
        <v/>
      </c>
    </row>
    <row r="28">
      <c r="A28" s="5" t="inlineStr">
        <is>
          <t>Interest expense</t>
        </is>
      </c>
      <c r="B28" s="8">
        <f>B27*$B$11</f>
        <v/>
      </c>
      <c r="C28" s="8">
        <f>C27*$B$11</f>
        <v/>
      </c>
      <c r="D28" s="8">
        <f>D27*$B$11</f>
        <v/>
      </c>
      <c r="E28" s="8">
        <f>E27*$B$11</f>
        <v/>
      </c>
      <c r="F28" s="8">
        <f>F27*$B$11</f>
        <v/>
      </c>
    </row>
    <row r="29">
      <c r="A29" s="5" t="inlineStr">
        <is>
          <t>EBT</t>
        </is>
      </c>
      <c r="B29" s="8">
        <f>B26-B28</f>
        <v/>
      </c>
      <c r="C29" s="8">
        <f>C26-C28</f>
        <v/>
      </c>
      <c r="D29" s="8">
        <f>D26-D28</f>
        <v/>
      </c>
      <c r="E29" s="8">
        <f>E26-E28</f>
        <v/>
      </c>
      <c r="F29" s="8">
        <f>F26-F28</f>
        <v/>
      </c>
    </row>
    <row r="30">
      <c r="A30" s="5" t="inlineStr">
        <is>
          <t>Taxes</t>
        </is>
      </c>
      <c r="B30" s="8">
        <f>-MAX(B29,0)*$B$12</f>
        <v/>
      </c>
      <c r="C30" s="8">
        <f>-MAX(C29,0)*$B$12</f>
        <v/>
      </c>
      <c r="D30" s="8">
        <f>-MAX(D29,0)*$B$12</f>
        <v/>
      </c>
      <c r="E30" s="8">
        <f>-MAX(E29,0)*$B$12</f>
        <v/>
      </c>
      <c r="F30" s="8">
        <f>-MAX(F29,0)*$B$12</f>
        <v/>
      </c>
    </row>
    <row r="31">
      <c r="A31" s="5" t="inlineStr">
        <is>
          <t>Net income</t>
        </is>
      </c>
      <c r="B31" s="8">
        <f>B29+B30</f>
        <v/>
      </c>
      <c r="C31" s="8">
        <f>C29+C30</f>
        <v/>
      </c>
      <c r="D31" s="8">
        <f>D29+D30</f>
        <v/>
      </c>
      <c r="E31" s="8">
        <f>E29+E30</f>
        <v/>
      </c>
      <c r="F31" s="8">
        <f>F29+F30</f>
        <v/>
      </c>
    </row>
    <row r="32">
      <c r="A32" s="5" t="inlineStr">
        <is>
          <t>Free cash flow</t>
        </is>
      </c>
      <c r="B32" s="8">
        <f>B31+B25-B24*$B$15-B24*$B$16</f>
        <v/>
      </c>
      <c r="C32" s="8">
        <f>C31+C25-C24*$B$15-C24*$B$16</f>
        <v/>
      </c>
      <c r="D32" s="8">
        <f>D31+D25-D24*$B$15-D24*$B$16</f>
        <v/>
      </c>
      <c r="E32" s="8">
        <f>E31+E25-E24*$B$15-E24*$B$16</f>
        <v/>
      </c>
      <c r="F32" s="8">
        <f>F31+F25-F24*$B$15-F24*$B$16</f>
        <v/>
      </c>
    </row>
    <row r="33">
      <c r="A33" s="5" t="inlineStr">
        <is>
          <t>Debt paydown</t>
        </is>
      </c>
      <c r="B33" s="8">
        <f>-MIN(B32,B27)</f>
        <v/>
      </c>
      <c r="C33" s="8">
        <f>-MIN(C32,C27)</f>
        <v/>
      </c>
      <c r="D33" s="8">
        <f>-MIN(D32,D27)</f>
        <v/>
      </c>
      <c r="E33" s="8">
        <f>-MIN(E32,E27)</f>
        <v/>
      </c>
      <c r="F33" s="8">
        <f>-MIN(F32,F27)</f>
        <v/>
      </c>
    </row>
    <row r="34">
      <c r="A34" s="12" t="inlineStr">
        <is>
          <t>Ending debt</t>
        </is>
      </c>
      <c r="B34" s="8">
        <f>B27+B33</f>
        <v/>
      </c>
      <c r="C34" s="8">
        <f>C27+C33</f>
        <v/>
      </c>
      <c r="D34" s="8">
        <f>D27+D33</f>
        <v/>
      </c>
      <c r="E34" s="8">
        <f>E27+E33</f>
        <v/>
      </c>
      <c r="F34" s="8">
        <f>F27+F33</f>
        <v/>
      </c>
    </row>
    <row r="36">
      <c r="A36" s="3" t="inlineStr">
        <is>
          <t>EXIT &amp; RETURNS</t>
        </is>
      </c>
      <c r="B36" s="4" t="n"/>
    </row>
    <row r="37">
      <c r="A37" s="5" t="inlineStr">
        <is>
          <t>Exit EBITDA, Year 5 ($M)</t>
        </is>
      </c>
      <c r="B37" s="8">
        <f>F24</f>
        <v/>
      </c>
    </row>
    <row r="38">
      <c r="A38" s="5" t="inlineStr">
        <is>
          <t>Exit multiple (x)</t>
        </is>
      </c>
      <c r="B38" s="13">
        <f>E20</f>
        <v/>
      </c>
    </row>
    <row r="39">
      <c r="A39" s="5" t="inlineStr">
        <is>
          <t>Exit enterprise value ($M)</t>
        </is>
      </c>
      <c r="B39" s="8">
        <f>F24*E20</f>
        <v/>
      </c>
    </row>
    <row r="40">
      <c r="A40" s="5" t="inlineStr">
        <is>
          <t>Less: Ending net debt ($M)</t>
        </is>
      </c>
      <c r="B40" s="8">
        <f>-F34</f>
        <v/>
      </c>
    </row>
    <row r="41">
      <c r="A41" s="5" t="inlineStr">
        <is>
          <t>Exit equity value ($M)</t>
        </is>
      </c>
      <c r="B41" s="8">
        <f>B39+B40</f>
        <v/>
      </c>
    </row>
    <row r="42">
      <c r="A42" s="5" t="inlineStr">
        <is>
          <t>Equity invested ($M)</t>
        </is>
      </c>
      <c r="B42" s="8">
        <f>B10</f>
        <v/>
      </c>
    </row>
    <row r="43">
      <c r="A43" s="14" t="inlineStr">
        <is>
          <t>MoM (x)</t>
        </is>
      </c>
      <c r="B43" s="15">
        <f>B41/B42</f>
        <v/>
      </c>
    </row>
    <row r="44">
      <c r="A44" s="14" t="inlineStr">
        <is>
          <t>IRR</t>
        </is>
      </c>
      <c r="B44" s="16">
        <f>(B41/B42)^(1/B17)-1</f>
        <v/>
      </c>
    </row>
  </sheetData>
  <dataValidations count="1">
    <dataValidation sqref="B19" showDropDown="0" showInputMessage="0" showErrorMessage="0" allowBlank="0" type="list">
      <formula1>"1,2,3"</formula1>
    </dataValidation>
  </dataValidations>
  <printOptions gridLines="0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2026-06-13T08:56:42Z</dcterms:created>
  <dcterms:modified xmlns:dcterms="http://purl.org/dc/terms/" xmlns:xsi="http://www.w3.org/2001/XMLSchema-instance" xsi:type="dcterms:W3CDTF">2026-06-13T08:56:42Z</dcterms:modified>
</cp:coreProperties>
</file>